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dr.kddeas/Desktop/AIAD_Consulting/Books_Courses2025-2026/MPH_toDataAnalyst/Data/EbolaData/"/>
    </mc:Choice>
  </mc:AlternateContent>
  <xr:revisionPtr revIDLastSave="0" documentId="8_{CEBA5C33-33D7-4E4C-92B0-9FB3085D9586}" xr6:coauthVersionLast="47" xr6:coauthVersionMax="47" xr10:uidLastSave="{00000000-0000-0000-0000-000000000000}"/>
  <bookViews>
    <workbookView xWindow="0" yWindow="760" windowWidth="34560" windowHeight="20540" xr2:uid="{00000000-000D-0000-FFFF-FFFF00000000}"/>
  </bookViews>
  <sheets>
    <sheet name="All Outbreaks" sheetId="1" r:id="rId1"/>
    <sheet name="Summary by Count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G52" i="1"/>
  <c r="G51" i="1"/>
  <c r="G50" i="1"/>
  <c r="G49" i="1"/>
  <c r="G48" i="1"/>
  <c r="G47" i="1"/>
  <c r="G45" i="1"/>
  <c r="G44" i="1"/>
  <c r="G43" i="1"/>
  <c r="G42" i="1"/>
  <c r="G41" i="1"/>
  <c r="G40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<sst xmlns="http://schemas.openxmlformats.org/spreadsheetml/2006/main" count="186" uniqueCount="69">
  <si>
    <t>Year</t>
  </si>
  <si>
    <t>Country/Region</t>
  </si>
  <si>
    <t>Timing</t>
  </si>
  <si>
    <t>Species</t>
  </si>
  <si>
    <t>Cases</t>
  </si>
  <si>
    <t>Deaths</t>
  </si>
  <si>
    <t>Fatality Rate (%)</t>
  </si>
  <si>
    <t>Uganda</t>
  </si>
  <si>
    <t>Sep 2022–Jan 2023</t>
  </si>
  <si>
    <t>Sudan ebolavirus</t>
  </si>
  <si>
    <t>Democratic Republic of the Congo</t>
  </si>
  <si>
    <t>Aug–Sep 2022</t>
  </si>
  <si>
    <t>Zaire ebolavirus</t>
  </si>
  <si>
    <t>Apr–Jul 2022</t>
  </si>
  <si>
    <t>Oct–Dec 2021</t>
  </si>
  <si>
    <t>Feb–May 2021</t>
  </si>
  <si>
    <t>Guinea</t>
  </si>
  <si>
    <t>Feb–Jun 2021</t>
  </si>
  <si>
    <t>Jun–Nov 2020</t>
  </si>
  <si>
    <t>Aug 2018–Jun 2020 (10th outbreak)</t>
  </si>
  <si>
    <t>May–Jul 2018 (9th outbreak)</t>
  </si>
  <si>
    <t>May–Jul 2017</t>
  </si>
  <si>
    <t>Guinea, Liberia, Sierra Leone</t>
  </si>
  <si>
    <t>Mar 2014–Jun 2016 (West Africa)</t>
  </si>
  <si>
    <t>Italy</t>
  </si>
  <si>
    <t>2014</t>
  </si>
  <si>
    <t>Mali</t>
  </si>
  <si>
    <t>Nigeria</t>
  </si>
  <si>
    <t>Senegal</t>
  </si>
  <si>
    <t>Spain</t>
  </si>
  <si>
    <t>United Kingdom</t>
  </si>
  <si>
    <t>United States</t>
  </si>
  <si>
    <t>Nov 2012</t>
  </si>
  <si>
    <t>2012</t>
  </si>
  <si>
    <t>Bundibugyo ebolavirus</t>
  </si>
  <si>
    <t>Jun 2012</t>
  </si>
  <si>
    <t>May 2011</t>
  </si>
  <si>
    <t>2008</t>
  </si>
  <si>
    <t>Philippines</t>
  </si>
  <si>
    <t>Reston ebolavirus (non-pathogenic in humans)</t>
  </si>
  <si>
    <t>2007</t>
  </si>
  <si>
    <t>Sep–Nov 2007</t>
  </si>
  <si>
    <t>Republic of the Congo</t>
  </si>
  <si>
    <t>2005</t>
  </si>
  <si>
    <t>Russia</t>
  </si>
  <si>
    <t>2004</t>
  </si>
  <si>
    <t>Sudan</t>
  </si>
  <si>
    <t>Nov–Dec 2003</t>
  </si>
  <si>
    <t>Jan–Apr 2003</t>
  </si>
  <si>
    <t>2001–2002</t>
  </si>
  <si>
    <t>Gabon</t>
  </si>
  <si>
    <t>2000–2001</t>
  </si>
  <si>
    <t>1996</t>
  </si>
  <si>
    <t>South Africa</t>
  </si>
  <si>
    <t>Fall 1996</t>
  </si>
  <si>
    <t>Spring 1996</t>
  </si>
  <si>
    <t>1995</t>
  </si>
  <si>
    <t>Cote d'Ivoire</t>
  </si>
  <si>
    <t>1994</t>
  </si>
  <si>
    <t>Taï Forest ebolavirus</t>
  </si>
  <si>
    <t>1992</t>
  </si>
  <si>
    <t>1989</t>
  </si>
  <si>
    <t>1979</t>
  </si>
  <si>
    <t>1977</t>
  </si>
  <si>
    <t>1976</t>
  </si>
  <si>
    <t>Outbreaks</t>
  </si>
  <si>
    <t>Total Cases</t>
  </si>
  <si>
    <t>Total Deaths</t>
  </si>
  <si>
    <t>Avg Fatality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</si>
</sst>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2DCD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8" customWidth="1"/>
    <col min="3" max="3" width="18" customWidth="1"/>
    <col min="4" max="4" width="28" customWidth="1"/>
    <col min="5" max="6" width="8" customWidth="1"/>
    <col min="7" max="7" width="16" customWidth="1"/>
  </cols>
  <sheetData>
    <row r="1" spans="1:7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customHeight="1" x14ac:dyDescent="0.2">
      <c r="A2" s="2">
        <v>2022</v>
      </c>
      <c r="B2" s="3" t="s">
        <v>7</v>
      </c>
      <c r="C2" s="3" t="s">
        <v>8</v>
      </c>
      <c r="D2" s="3" t="s">
        <v>9</v>
      </c>
      <c r="E2" s="2">
        <v>164</v>
      </c>
      <c r="F2" s="2">
        <v>55</v>
      </c>
      <c r="G2" s="4">
        <f t="shared" ref="G2:G37" si="0">F2/E2</f>
        <v>0.33536585365853661</v>
      </c>
    </row>
    <row r="3" spans="1:7" ht="28" customHeight="1" x14ac:dyDescent="0.2">
      <c r="A3" s="5">
        <v>2022</v>
      </c>
      <c r="B3" s="6" t="s">
        <v>10</v>
      </c>
      <c r="C3" s="6" t="s">
        <v>11</v>
      </c>
      <c r="D3" s="6" t="s">
        <v>12</v>
      </c>
      <c r="E3" s="5">
        <v>1</v>
      </c>
      <c r="F3" s="5">
        <v>1</v>
      </c>
      <c r="G3" s="7">
        <f t="shared" si="0"/>
        <v>1</v>
      </c>
    </row>
    <row r="4" spans="1:7" ht="28" customHeight="1" x14ac:dyDescent="0.2">
      <c r="A4" s="2">
        <v>2022</v>
      </c>
      <c r="B4" s="3" t="s">
        <v>10</v>
      </c>
      <c r="C4" s="3" t="s">
        <v>13</v>
      </c>
      <c r="D4" s="3" t="s">
        <v>12</v>
      </c>
      <c r="E4" s="2">
        <v>5</v>
      </c>
      <c r="F4" s="2">
        <v>5</v>
      </c>
      <c r="G4" s="4">
        <f t="shared" si="0"/>
        <v>1</v>
      </c>
    </row>
    <row r="5" spans="1:7" ht="28" customHeight="1" x14ac:dyDescent="0.2">
      <c r="A5" s="5">
        <v>2021</v>
      </c>
      <c r="B5" s="6" t="s">
        <v>10</v>
      </c>
      <c r="C5" s="6" t="s">
        <v>14</v>
      </c>
      <c r="D5" s="6" t="s">
        <v>12</v>
      </c>
      <c r="E5" s="5">
        <v>11</v>
      </c>
      <c r="F5" s="5">
        <v>9</v>
      </c>
      <c r="G5" s="7">
        <f t="shared" si="0"/>
        <v>0.81818181818181823</v>
      </c>
    </row>
    <row r="6" spans="1:7" ht="28" customHeight="1" x14ac:dyDescent="0.2">
      <c r="A6" s="2">
        <v>2021</v>
      </c>
      <c r="B6" s="3" t="s">
        <v>10</v>
      </c>
      <c r="C6" s="3" t="s">
        <v>15</v>
      </c>
      <c r="D6" s="3" t="s">
        <v>12</v>
      </c>
      <c r="E6" s="2">
        <v>12</v>
      </c>
      <c r="F6" s="2">
        <v>6</v>
      </c>
      <c r="G6" s="4">
        <f t="shared" si="0"/>
        <v>0.5</v>
      </c>
    </row>
    <row r="7" spans="1:7" ht="28" customHeight="1" x14ac:dyDescent="0.2">
      <c r="A7" s="5">
        <v>2021</v>
      </c>
      <c r="B7" s="6" t="s">
        <v>16</v>
      </c>
      <c r="C7" s="6" t="s">
        <v>17</v>
      </c>
      <c r="D7" s="6" t="s">
        <v>12</v>
      </c>
      <c r="E7" s="5">
        <v>23</v>
      </c>
      <c r="F7" s="5">
        <v>12</v>
      </c>
      <c r="G7" s="7">
        <f t="shared" si="0"/>
        <v>0.52173913043478259</v>
      </c>
    </row>
    <row r="8" spans="1:7" ht="28" customHeight="1" x14ac:dyDescent="0.2">
      <c r="A8" s="2">
        <v>2020</v>
      </c>
      <c r="B8" s="3" t="s">
        <v>10</v>
      </c>
      <c r="C8" s="3" t="s">
        <v>18</v>
      </c>
      <c r="D8" s="3" t="s">
        <v>12</v>
      </c>
      <c r="E8" s="2">
        <v>130</v>
      </c>
      <c r="F8" s="2">
        <v>55</v>
      </c>
      <c r="G8" s="4">
        <f t="shared" si="0"/>
        <v>0.42307692307692307</v>
      </c>
    </row>
    <row r="9" spans="1:7" ht="28" customHeight="1" x14ac:dyDescent="0.2">
      <c r="A9" s="5">
        <v>2018</v>
      </c>
      <c r="B9" s="6" t="s">
        <v>10</v>
      </c>
      <c r="C9" s="6" t="s">
        <v>19</v>
      </c>
      <c r="D9" s="6" t="s">
        <v>12</v>
      </c>
      <c r="E9" s="5">
        <v>3470</v>
      </c>
      <c r="F9" s="5">
        <v>2287</v>
      </c>
      <c r="G9" s="7">
        <f t="shared" si="0"/>
        <v>0.65907780979827091</v>
      </c>
    </row>
    <row r="10" spans="1:7" ht="28" customHeight="1" x14ac:dyDescent="0.2">
      <c r="A10" s="2">
        <v>2018</v>
      </c>
      <c r="B10" s="3" t="s">
        <v>10</v>
      </c>
      <c r="C10" s="3" t="s">
        <v>20</v>
      </c>
      <c r="D10" s="3" t="s">
        <v>12</v>
      </c>
      <c r="E10" s="2">
        <v>54</v>
      </c>
      <c r="F10" s="2">
        <v>33</v>
      </c>
      <c r="G10" s="4">
        <f t="shared" si="0"/>
        <v>0.61111111111111116</v>
      </c>
    </row>
    <row r="11" spans="1:7" ht="28" customHeight="1" x14ac:dyDescent="0.2">
      <c r="A11" s="5">
        <v>2017</v>
      </c>
      <c r="B11" s="6" t="s">
        <v>10</v>
      </c>
      <c r="C11" s="6" t="s">
        <v>21</v>
      </c>
      <c r="D11" s="6" t="s">
        <v>12</v>
      </c>
      <c r="E11" s="5">
        <v>8</v>
      </c>
      <c r="F11" s="5">
        <v>4</v>
      </c>
      <c r="G11" s="7">
        <f t="shared" si="0"/>
        <v>0.5</v>
      </c>
    </row>
    <row r="12" spans="1:7" ht="28" customHeight="1" x14ac:dyDescent="0.2">
      <c r="A12" s="2">
        <v>2014</v>
      </c>
      <c r="B12" s="3" t="s">
        <v>22</v>
      </c>
      <c r="C12" s="3" t="s">
        <v>23</v>
      </c>
      <c r="D12" s="3" t="s">
        <v>12</v>
      </c>
      <c r="E12" s="2">
        <v>28610</v>
      </c>
      <c r="F12" s="2">
        <v>11308</v>
      </c>
      <c r="G12" s="4">
        <f t="shared" si="0"/>
        <v>0.3952464173365956</v>
      </c>
    </row>
    <row r="13" spans="1:7" ht="28" customHeight="1" x14ac:dyDescent="0.2">
      <c r="A13" s="5">
        <v>2014</v>
      </c>
      <c r="B13" s="6" t="s">
        <v>24</v>
      </c>
      <c r="C13" s="6" t="s">
        <v>25</v>
      </c>
      <c r="D13" s="6" t="s">
        <v>12</v>
      </c>
      <c r="E13" s="5">
        <v>1</v>
      </c>
      <c r="F13" s="5">
        <v>0</v>
      </c>
      <c r="G13" s="7">
        <f t="shared" si="0"/>
        <v>0</v>
      </c>
    </row>
    <row r="14" spans="1:7" ht="28" customHeight="1" x14ac:dyDescent="0.2">
      <c r="A14" s="2">
        <v>2014</v>
      </c>
      <c r="B14" s="3" t="s">
        <v>26</v>
      </c>
      <c r="C14" s="3" t="s">
        <v>25</v>
      </c>
      <c r="D14" s="3" t="s">
        <v>12</v>
      </c>
      <c r="E14" s="2">
        <v>8</v>
      </c>
      <c r="F14" s="2">
        <v>6</v>
      </c>
      <c r="G14" s="4">
        <f t="shared" si="0"/>
        <v>0.75</v>
      </c>
    </row>
    <row r="15" spans="1:7" ht="28" customHeight="1" x14ac:dyDescent="0.2">
      <c r="A15" s="5">
        <v>2014</v>
      </c>
      <c r="B15" s="6" t="s">
        <v>27</v>
      </c>
      <c r="C15" s="6" t="s">
        <v>25</v>
      </c>
      <c r="D15" s="6" t="s">
        <v>12</v>
      </c>
      <c r="E15" s="5">
        <v>20</v>
      </c>
      <c r="F15" s="5">
        <v>8</v>
      </c>
      <c r="G15" s="7">
        <f t="shared" si="0"/>
        <v>0.4</v>
      </c>
    </row>
    <row r="16" spans="1:7" ht="28" customHeight="1" x14ac:dyDescent="0.2">
      <c r="A16" s="2">
        <v>2014</v>
      </c>
      <c r="B16" s="3" t="s">
        <v>28</v>
      </c>
      <c r="C16" s="3" t="s">
        <v>25</v>
      </c>
      <c r="D16" s="3" t="s">
        <v>12</v>
      </c>
      <c r="E16" s="2">
        <v>1</v>
      </c>
      <c r="F16" s="2">
        <v>0</v>
      </c>
      <c r="G16" s="4">
        <f t="shared" si="0"/>
        <v>0</v>
      </c>
    </row>
    <row r="17" spans="1:7" ht="28" customHeight="1" x14ac:dyDescent="0.2">
      <c r="A17" s="5">
        <v>2014</v>
      </c>
      <c r="B17" s="6" t="s">
        <v>29</v>
      </c>
      <c r="C17" s="6" t="s">
        <v>25</v>
      </c>
      <c r="D17" s="6" t="s">
        <v>12</v>
      </c>
      <c r="E17" s="5">
        <v>1</v>
      </c>
      <c r="F17" s="5">
        <v>0</v>
      </c>
      <c r="G17" s="7">
        <f t="shared" si="0"/>
        <v>0</v>
      </c>
    </row>
    <row r="18" spans="1:7" ht="28" customHeight="1" x14ac:dyDescent="0.2">
      <c r="A18" s="2">
        <v>2014</v>
      </c>
      <c r="B18" s="3" t="s">
        <v>30</v>
      </c>
      <c r="C18" s="3" t="s">
        <v>25</v>
      </c>
      <c r="D18" s="3" t="s">
        <v>12</v>
      </c>
      <c r="E18" s="2">
        <v>1</v>
      </c>
      <c r="F18" s="2">
        <v>0</v>
      </c>
      <c r="G18" s="4">
        <f t="shared" si="0"/>
        <v>0</v>
      </c>
    </row>
    <row r="19" spans="1:7" ht="28" customHeight="1" x14ac:dyDescent="0.2">
      <c r="A19" s="5">
        <v>2014</v>
      </c>
      <c r="B19" s="6" t="s">
        <v>31</v>
      </c>
      <c r="C19" s="6" t="s">
        <v>25</v>
      </c>
      <c r="D19" s="6" t="s">
        <v>12</v>
      </c>
      <c r="E19" s="5">
        <v>4</v>
      </c>
      <c r="F19" s="5">
        <v>1</v>
      </c>
      <c r="G19" s="7">
        <f t="shared" si="0"/>
        <v>0.25</v>
      </c>
    </row>
    <row r="20" spans="1:7" ht="28" customHeight="1" x14ac:dyDescent="0.2">
      <c r="A20" s="2">
        <v>2014</v>
      </c>
      <c r="B20" s="3" t="s">
        <v>10</v>
      </c>
      <c r="C20" s="3" t="s">
        <v>25</v>
      </c>
      <c r="D20" s="3" t="s">
        <v>12</v>
      </c>
      <c r="E20" s="2">
        <v>69</v>
      </c>
      <c r="F20" s="2">
        <v>49</v>
      </c>
      <c r="G20" s="4">
        <f t="shared" si="0"/>
        <v>0.71014492753623193</v>
      </c>
    </row>
    <row r="21" spans="1:7" ht="28" customHeight="1" x14ac:dyDescent="0.2">
      <c r="A21" s="5">
        <v>2012</v>
      </c>
      <c r="B21" s="6" t="s">
        <v>7</v>
      </c>
      <c r="C21" s="6" t="s">
        <v>32</v>
      </c>
      <c r="D21" s="6" t="s">
        <v>9</v>
      </c>
      <c r="E21" s="5">
        <v>6</v>
      </c>
      <c r="F21" s="5">
        <v>3</v>
      </c>
      <c r="G21" s="7">
        <f t="shared" si="0"/>
        <v>0.5</v>
      </c>
    </row>
    <row r="22" spans="1:7" ht="28" customHeight="1" x14ac:dyDescent="0.2">
      <c r="A22" s="2">
        <v>2012</v>
      </c>
      <c r="B22" s="3" t="s">
        <v>10</v>
      </c>
      <c r="C22" s="3" t="s">
        <v>33</v>
      </c>
      <c r="D22" s="3" t="s">
        <v>34</v>
      </c>
      <c r="E22" s="2">
        <v>38</v>
      </c>
      <c r="F22" s="2">
        <v>13</v>
      </c>
      <c r="G22" s="4">
        <f t="shared" si="0"/>
        <v>0.34210526315789475</v>
      </c>
    </row>
    <row r="23" spans="1:7" ht="28" customHeight="1" x14ac:dyDescent="0.2">
      <c r="A23" s="5">
        <v>2012</v>
      </c>
      <c r="B23" s="6" t="s">
        <v>7</v>
      </c>
      <c r="C23" s="6" t="s">
        <v>35</v>
      </c>
      <c r="D23" s="6" t="s">
        <v>9</v>
      </c>
      <c r="E23" s="5">
        <v>11</v>
      </c>
      <c r="F23" s="5">
        <v>4</v>
      </c>
      <c r="G23" s="7">
        <f t="shared" si="0"/>
        <v>0.36363636363636365</v>
      </c>
    </row>
    <row r="24" spans="1:7" ht="28" customHeight="1" x14ac:dyDescent="0.2">
      <c r="A24" s="2">
        <v>2011</v>
      </c>
      <c r="B24" s="3" t="s">
        <v>7</v>
      </c>
      <c r="C24" s="3" t="s">
        <v>36</v>
      </c>
      <c r="D24" s="3" t="s">
        <v>9</v>
      </c>
      <c r="E24" s="2">
        <v>1</v>
      </c>
      <c r="F24" s="2">
        <v>1</v>
      </c>
      <c r="G24" s="4">
        <f t="shared" si="0"/>
        <v>1</v>
      </c>
    </row>
    <row r="25" spans="1:7" ht="28" customHeight="1" x14ac:dyDescent="0.2">
      <c r="A25" s="5">
        <v>2008</v>
      </c>
      <c r="B25" s="6" t="s">
        <v>10</v>
      </c>
      <c r="C25" s="6" t="s">
        <v>37</v>
      </c>
      <c r="D25" s="6" t="s">
        <v>12</v>
      </c>
      <c r="E25" s="5">
        <v>32</v>
      </c>
      <c r="F25" s="5">
        <v>15</v>
      </c>
      <c r="G25" s="7">
        <f t="shared" si="0"/>
        <v>0.46875</v>
      </c>
    </row>
    <row r="26" spans="1:7" ht="28" customHeight="1" x14ac:dyDescent="0.2">
      <c r="A26" s="2">
        <v>2008</v>
      </c>
      <c r="B26" s="3" t="s">
        <v>38</v>
      </c>
      <c r="C26" s="3" t="s">
        <v>37</v>
      </c>
      <c r="D26" s="3" t="s">
        <v>39</v>
      </c>
      <c r="E26" s="2">
        <v>6</v>
      </c>
      <c r="F26" s="2">
        <v>0</v>
      </c>
      <c r="G26" s="4">
        <f t="shared" si="0"/>
        <v>0</v>
      </c>
    </row>
    <row r="27" spans="1:7" ht="28" customHeight="1" x14ac:dyDescent="0.2">
      <c r="A27" s="5">
        <v>2007</v>
      </c>
      <c r="B27" s="6" t="s">
        <v>7</v>
      </c>
      <c r="C27" s="6" t="s">
        <v>40</v>
      </c>
      <c r="D27" s="6" t="s">
        <v>34</v>
      </c>
      <c r="E27" s="5">
        <v>131</v>
      </c>
      <c r="F27" s="5">
        <v>42</v>
      </c>
      <c r="G27" s="7">
        <f t="shared" si="0"/>
        <v>0.32061068702290074</v>
      </c>
    </row>
    <row r="28" spans="1:7" ht="28" customHeight="1" x14ac:dyDescent="0.2">
      <c r="A28" s="2">
        <v>2007</v>
      </c>
      <c r="B28" s="3" t="s">
        <v>10</v>
      </c>
      <c r="C28" s="3" t="s">
        <v>41</v>
      </c>
      <c r="D28" s="3" t="s">
        <v>12</v>
      </c>
      <c r="E28" s="2">
        <v>264</v>
      </c>
      <c r="F28" s="2">
        <v>187</v>
      </c>
      <c r="G28" s="4">
        <f t="shared" si="0"/>
        <v>0.70833333333333337</v>
      </c>
    </row>
    <row r="29" spans="1:7" ht="28" customHeight="1" x14ac:dyDescent="0.2">
      <c r="A29" s="5">
        <v>2005</v>
      </c>
      <c r="B29" s="6" t="s">
        <v>42</v>
      </c>
      <c r="C29" s="6" t="s">
        <v>43</v>
      </c>
      <c r="D29" s="6" t="s">
        <v>12</v>
      </c>
      <c r="E29" s="5">
        <v>12</v>
      </c>
      <c r="F29" s="5">
        <v>10</v>
      </c>
      <c r="G29" s="7">
        <f t="shared" si="0"/>
        <v>0.83333333333333337</v>
      </c>
    </row>
    <row r="30" spans="1:7" ht="28" customHeight="1" x14ac:dyDescent="0.2">
      <c r="A30" s="2">
        <v>2004</v>
      </c>
      <c r="B30" s="3" t="s">
        <v>44</v>
      </c>
      <c r="C30" s="3" t="s">
        <v>45</v>
      </c>
      <c r="D30" s="3" t="s">
        <v>12</v>
      </c>
      <c r="E30" s="2">
        <v>1</v>
      </c>
      <c r="F30" s="2">
        <v>1</v>
      </c>
      <c r="G30" s="4">
        <f t="shared" si="0"/>
        <v>1</v>
      </c>
    </row>
    <row r="31" spans="1:7" ht="28" customHeight="1" x14ac:dyDescent="0.2">
      <c r="A31" s="5">
        <v>2004</v>
      </c>
      <c r="B31" s="6" t="s">
        <v>46</v>
      </c>
      <c r="C31" s="6" t="s">
        <v>45</v>
      </c>
      <c r="D31" s="6" t="s">
        <v>9</v>
      </c>
      <c r="E31" s="5">
        <v>17</v>
      </c>
      <c r="F31" s="5">
        <v>7</v>
      </c>
      <c r="G31" s="7">
        <f t="shared" si="0"/>
        <v>0.41176470588235292</v>
      </c>
    </row>
    <row r="32" spans="1:7" ht="28" customHeight="1" x14ac:dyDescent="0.2">
      <c r="A32" s="2">
        <v>2003</v>
      </c>
      <c r="B32" s="3" t="s">
        <v>42</v>
      </c>
      <c r="C32" s="3" t="s">
        <v>47</v>
      </c>
      <c r="D32" s="3" t="s">
        <v>12</v>
      </c>
      <c r="E32" s="2">
        <v>35</v>
      </c>
      <c r="F32" s="2">
        <v>29</v>
      </c>
      <c r="G32" s="4">
        <f t="shared" si="0"/>
        <v>0.82857142857142863</v>
      </c>
    </row>
    <row r="33" spans="1:7" ht="28" customHeight="1" x14ac:dyDescent="0.2">
      <c r="A33" s="5">
        <v>2003</v>
      </c>
      <c r="B33" s="6" t="s">
        <v>42</v>
      </c>
      <c r="C33" s="6" t="s">
        <v>48</v>
      </c>
      <c r="D33" s="6" t="s">
        <v>12</v>
      </c>
      <c r="E33" s="5">
        <v>143</v>
      </c>
      <c r="F33" s="5">
        <v>128</v>
      </c>
      <c r="G33" s="7">
        <f t="shared" si="0"/>
        <v>0.8951048951048951</v>
      </c>
    </row>
    <row r="34" spans="1:7" ht="28" customHeight="1" x14ac:dyDescent="0.2">
      <c r="A34" s="2">
        <v>2001</v>
      </c>
      <c r="B34" s="3" t="s">
        <v>42</v>
      </c>
      <c r="C34" s="3" t="s">
        <v>49</v>
      </c>
      <c r="D34" s="3" t="s">
        <v>12</v>
      </c>
      <c r="E34" s="2">
        <v>59</v>
      </c>
      <c r="F34" s="2">
        <v>44</v>
      </c>
      <c r="G34" s="4">
        <f t="shared" si="0"/>
        <v>0.74576271186440679</v>
      </c>
    </row>
    <row r="35" spans="1:7" ht="28" customHeight="1" x14ac:dyDescent="0.2">
      <c r="A35" s="5">
        <v>2001</v>
      </c>
      <c r="B35" s="6" t="s">
        <v>50</v>
      </c>
      <c r="C35" s="6" t="s">
        <v>49</v>
      </c>
      <c r="D35" s="6" t="s">
        <v>12</v>
      </c>
      <c r="E35" s="5">
        <v>65</v>
      </c>
      <c r="F35" s="5">
        <v>53</v>
      </c>
      <c r="G35" s="7">
        <f t="shared" si="0"/>
        <v>0.81538461538461537</v>
      </c>
    </row>
    <row r="36" spans="1:7" ht="28" customHeight="1" x14ac:dyDescent="0.2">
      <c r="A36" s="2">
        <v>2000</v>
      </c>
      <c r="B36" s="3" t="s">
        <v>7</v>
      </c>
      <c r="C36" s="3" t="s">
        <v>51</v>
      </c>
      <c r="D36" s="3" t="s">
        <v>9</v>
      </c>
      <c r="E36" s="2">
        <v>425</v>
      </c>
      <c r="F36" s="2">
        <v>224</v>
      </c>
      <c r="G36" s="4">
        <f t="shared" si="0"/>
        <v>0.5270588235294118</v>
      </c>
    </row>
    <row r="37" spans="1:7" ht="28" customHeight="1" x14ac:dyDescent="0.2">
      <c r="A37" s="5">
        <v>1996</v>
      </c>
      <c r="B37" s="6" t="s">
        <v>44</v>
      </c>
      <c r="C37" s="6" t="s">
        <v>52</v>
      </c>
      <c r="D37" s="6" t="s">
        <v>12</v>
      </c>
      <c r="E37" s="5">
        <v>1</v>
      </c>
      <c r="F37" s="5">
        <v>1</v>
      </c>
      <c r="G37" s="7">
        <f t="shared" si="0"/>
        <v>1</v>
      </c>
    </row>
    <row r="38" spans="1:7" ht="28" customHeight="1" x14ac:dyDescent="0.2">
      <c r="A38" s="2">
        <v>1996</v>
      </c>
      <c r="B38" s="3" t="s">
        <v>38</v>
      </c>
      <c r="C38" s="3" t="s">
        <v>52</v>
      </c>
      <c r="D38" s="3" t="s">
        <v>39</v>
      </c>
      <c r="E38" s="2">
        <v>0</v>
      </c>
      <c r="F38" s="2">
        <v>0</v>
      </c>
      <c r="G38" s="2">
        <v>0</v>
      </c>
    </row>
    <row r="39" spans="1:7" ht="28" customHeight="1" x14ac:dyDescent="0.2">
      <c r="A39" s="5">
        <v>1996</v>
      </c>
      <c r="B39" s="6" t="s">
        <v>31</v>
      </c>
      <c r="C39" s="6" t="s">
        <v>52</v>
      </c>
      <c r="D39" s="6" t="s">
        <v>39</v>
      </c>
      <c r="E39" s="5">
        <v>0</v>
      </c>
      <c r="F39" s="5">
        <v>0</v>
      </c>
      <c r="G39" s="5">
        <v>0</v>
      </c>
    </row>
    <row r="40" spans="1:7" ht="28" customHeight="1" x14ac:dyDescent="0.2">
      <c r="A40" s="2">
        <v>1996</v>
      </c>
      <c r="B40" s="3" t="s">
        <v>53</v>
      </c>
      <c r="C40" s="3" t="s">
        <v>52</v>
      </c>
      <c r="D40" s="3" t="s">
        <v>12</v>
      </c>
      <c r="E40" s="2">
        <v>2</v>
      </c>
      <c r="F40" s="2">
        <v>1</v>
      </c>
      <c r="G40" s="4">
        <f t="shared" ref="G40:G45" si="1">F40/E40</f>
        <v>0.5</v>
      </c>
    </row>
    <row r="41" spans="1:7" ht="28" customHeight="1" x14ac:dyDescent="0.2">
      <c r="A41" s="5">
        <v>1996</v>
      </c>
      <c r="B41" s="6" t="s">
        <v>50</v>
      </c>
      <c r="C41" s="6" t="s">
        <v>54</v>
      </c>
      <c r="D41" s="6" t="s">
        <v>12</v>
      </c>
      <c r="E41" s="5">
        <v>60</v>
      </c>
      <c r="F41" s="5">
        <v>45</v>
      </c>
      <c r="G41" s="7">
        <f t="shared" si="1"/>
        <v>0.75</v>
      </c>
    </row>
    <row r="42" spans="1:7" ht="28" customHeight="1" x14ac:dyDescent="0.2">
      <c r="A42" s="2">
        <v>1996</v>
      </c>
      <c r="B42" s="3" t="s">
        <v>50</v>
      </c>
      <c r="C42" s="3" t="s">
        <v>55</v>
      </c>
      <c r="D42" s="3" t="s">
        <v>12</v>
      </c>
      <c r="E42" s="2">
        <v>31</v>
      </c>
      <c r="F42" s="2">
        <v>21</v>
      </c>
      <c r="G42" s="4">
        <f t="shared" si="1"/>
        <v>0.67741935483870963</v>
      </c>
    </row>
    <row r="43" spans="1:7" ht="28" customHeight="1" x14ac:dyDescent="0.2">
      <c r="A43" s="5">
        <v>1995</v>
      </c>
      <c r="B43" s="6" t="s">
        <v>10</v>
      </c>
      <c r="C43" s="6" t="s">
        <v>56</v>
      </c>
      <c r="D43" s="6" t="s">
        <v>12</v>
      </c>
      <c r="E43" s="5">
        <v>315</v>
      </c>
      <c r="F43" s="5">
        <v>254</v>
      </c>
      <c r="G43" s="7">
        <f t="shared" si="1"/>
        <v>0.80634920634920637</v>
      </c>
    </row>
    <row r="44" spans="1:7" ht="28" customHeight="1" x14ac:dyDescent="0.2">
      <c r="A44" s="2">
        <v>1994</v>
      </c>
      <c r="B44" s="3" t="s">
        <v>57</v>
      </c>
      <c r="C44" s="3" t="s">
        <v>58</v>
      </c>
      <c r="D44" s="3" t="s">
        <v>59</v>
      </c>
      <c r="E44" s="2">
        <v>1</v>
      </c>
      <c r="F44" s="2">
        <v>0</v>
      </c>
      <c r="G44" s="4">
        <f t="shared" si="1"/>
        <v>0</v>
      </c>
    </row>
    <row r="45" spans="1:7" ht="28" customHeight="1" x14ac:dyDescent="0.2">
      <c r="A45" s="5">
        <v>1994</v>
      </c>
      <c r="B45" s="6" t="s">
        <v>50</v>
      </c>
      <c r="C45" s="6" t="s">
        <v>58</v>
      </c>
      <c r="D45" s="6" t="s">
        <v>12</v>
      </c>
      <c r="E45" s="5">
        <v>51</v>
      </c>
      <c r="F45" s="5">
        <v>31</v>
      </c>
      <c r="G45" s="7">
        <f t="shared" si="1"/>
        <v>0.60784313725490191</v>
      </c>
    </row>
    <row r="46" spans="1:7" ht="28" customHeight="1" x14ac:dyDescent="0.2">
      <c r="A46" s="2">
        <v>1992</v>
      </c>
      <c r="B46" s="3" t="s">
        <v>24</v>
      </c>
      <c r="C46" s="3" t="s">
        <v>60</v>
      </c>
      <c r="D46" s="3" t="s">
        <v>39</v>
      </c>
      <c r="E46" s="2">
        <v>0</v>
      </c>
      <c r="F46" s="2">
        <v>0</v>
      </c>
      <c r="G46" s="2">
        <v>0</v>
      </c>
    </row>
    <row r="47" spans="1:7" ht="28" customHeight="1" x14ac:dyDescent="0.2">
      <c r="A47" s="5">
        <v>1989</v>
      </c>
      <c r="B47" s="6" t="s">
        <v>38</v>
      </c>
      <c r="C47" s="6" t="s">
        <v>61</v>
      </c>
      <c r="D47" s="6" t="s">
        <v>39</v>
      </c>
      <c r="E47" s="5">
        <v>3</v>
      </c>
      <c r="F47" s="5">
        <v>0</v>
      </c>
      <c r="G47" s="7">
        <f t="shared" ref="G47:G53" si="2">F47/E47</f>
        <v>0</v>
      </c>
    </row>
    <row r="48" spans="1:7" ht="28" customHeight="1" x14ac:dyDescent="0.2">
      <c r="A48" s="2">
        <v>1989</v>
      </c>
      <c r="B48" s="3" t="s">
        <v>31</v>
      </c>
      <c r="C48" s="3" t="s">
        <v>61</v>
      </c>
      <c r="D48" s="3" t="s">
        <v>39</v>
      </c>
      <c r="E48" s="2">
        <v>4</v>
      </c>
      <c r="F48" s="2">
        <v>0</v>
      </c>
      <c r="G48" s="4">
        <f t="shared" si="2"/>
        <v>0</v>
      </c>
    </row>
    <row r="49" spans="1:7" ht="28" customHeight="1" x14ac:dyDescent="0.2">
      <c r="A49" s="5">
        <v>1979</v>
      </c>
      <c r="B49" s="6" t="s">
        <v>46</v>
      </c>
      <c r="C49" s="6" t="s">
        <v>62</v>
      </c>
      <c r="D49" s="6" t="s">
        <v>9</v>
      </c>
      <c r="E49" s="5">
        <v>34</v>
      </c>
      <c r="F49" s="5">
        <v>22</v>
      </c>
      <c r="G49" s="7">
        <f t="shared" si="2"/>
        <v>0.6470588235294118</v>
      </c>
    </row>
    <row r="50" spans="1:7" ht="28" customHeight="1" x14ac:dyDescent="0.2">
      <c r="A50" s="2">
        <v>1977</v>
      </c>
      <c r="B50" s="3" t="s">
        <v>10</v>
      </c>
      <c r="C50" s="3" t="s">
        <v>63</v>
      </c>
      <c r="D50" s="3" t="s">
        <v>12</v>
      </c>
      <c r="E50" s="2">
        <v>1</v>
      </c>
      <c r="F50" s="2">
        <v>1</v>
      </c>
      <c r="G50" s="4">
        <f t="shared" si="2"/>
        <v>1</v>
      </c>
    </row>
    <row r="51" spans="1:7" ht="28" customHeight="1" x14ac:dyDescent="0.2">
      <c r="A51" s="5">
        <v>1976</v>
      </c>
      <c r="B51" s="6" t="s">
        <v>30</v>
      </c>
      <c r="C51" s="6" t="s">
        <v>64</v>
      </c>
      <c r="D51" s="6" t="s">
        <v>12</v>
      </c>
      <c r="E51" s="5">
        <v>1</v>
      </c>
      <c r="F51" s="5">
        <v>0</v>
      </c>
      <c r="G51" s="7">
        <f t="shared" si="2"/>
        <v>0</v>
      </c>
    </row>
    <row r="52" spans="1:7" ht="28" customHeight="1" x14ac:dyDescent="0.2">
      <c r="A52" s="2">
        <v>1976</v>
      </c>
      <c r="B52" s="3" t="s">
        <v>46</v>
      </c>
      <c r="C52" s="3" t="s">
        <v>64</v>
      </c>
      <c r="D52" s="3" t="s">
        <v>9</v>
      </c>
      <c r="E52" s="2">
        <v>284</v>
      </c>
      <c r="F52" s="2">
        <v>151</v>
      </c>
      <c r="G52" s="4">
        <f t="shared" si="2"/>
        <v>0.53169014084507038</v>
      </c>
    </row>
    <row r="53" spans="1:7" ht="28" customHeight="1" x14ac:dyDescent="0.2">
      <c r="A53" s="5">
        <v>1976</v>
      </c>
      <c r="B53" s="6" t="s">
        <v>10</v>
      </c>
      <c r="C53" s="6" t="s">
        <v>64</v>
      </c>
      <c r="D53" s="6" t="s">
        <v>12</v>
      </c>
      <c r="E53" s="5">
        <v>318</v>
      </c>
      <c r="F53" s="5">
        <v>280</v>
      </c>
      <c r="G53" s="7">
        <f t="shared" si="2"/>
        <v>0.88050314465408808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10" customWidth="1"/>
    <col min="3" max="4" width="14" customWidth="1"/>
    <col min="5" max="5" width="22" customWidth="1"/>
  </cols>
  <sheetData>
    <row r="1" spans="1:5" ht="28" customHeight="1" x14ac:dyDescent="0.2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 ht="18" customHeight="1" x14ac:dyDescent="0.2">
      <c r="A2" s="8" t="s">
        <v>22</v>
      </c>
      <c r="B2" s="9">
        <v>1</v>
      </c>
      <c r="C2" s="9">
        <v>28610</v>
      </c>
      <c r="D2" s="9">
        <v>11308</v>
      </c>
      <c r="E2" s="10">
        <v>0.3952464173365956</v>
      </c>
    </row>
    <row r="3" spans="1:5" ht="18" customHeight="1" x14ac:dyDescent="0.2">
      <c r="A3" s="11" t="s">
        <v>10</v>
      </c>
      <c r="B3" s="12">
        <v>15</v>
      </c>
      <c r="C3" s="12">
        <v>4728</v>
      </c>
      <c r="D3" s="12">
        <v>3199</v>
      </c>
      <c r="E3" s="13">
        <v>0.67660744500846026</v>
      </c>
    </row>
    <row r="4" spans="1:5" ht="18" customHeight="1" x14ac:dyDescent="0.2">
      <c r="A4" s="8" t="s">
        <v>7</v>
      </c>
      <c r="B4" s="9">
        <v>6</v>
      </c>
      <c r="C4" s="9">
        <v>738</v>
      </c>
      <c r="D4" s="9">
        <v>329</v>
      </c>
      <c r="E4" s="10">
        <v>0.44579945799457987</v>
      </c>
    </row>
    <row r="5" spans="1:5" ht="18" customHeight="1" x14ac:dyDescent="0.2">
      <c r="A5" s="11" t="s">
        <v>46</v>
      </c>
      <c r="B5" s="12">
        <v>3</v>
      </c>
      <c r="C5" s="12">
        <v>335</v>
      </c>
      <c r="D5" s="12">
        <v>180</v>
      </c>
      <c r="E5" s="13">
        <v>0.53731343283582089</v>
      </c>
    </row>
    <row r="6" spans="1:5" ht="18" customHeight="1" x14ac:dyDescent="0.2">
      <c r="A6" s="8" t="s">
        <v>42</v>
      </c>
      <c r="B6" s="9">
        <v>4</v>
      </c>
      <c r="C6" s="9">
        <v>249</v>
      </c>
      <c r="D6" s="9">
        <v>211</v>
      </c>
      <c r="E6" s="10">
        <v>0.84738955823293172</v>
      </c>
    </row>
    <row r="7" spans="1:5" ht="18" customHeight="1" x14ac:dyDescent="0.2">
      <c r="A7" s="11" t="s">
        <v>50</v>
      </c>
      <c r="B7" s="12">
        <v>4</v>
      </c>
      <c r="C7" s="12">
        <v>207</v>
      </c>
      <c r="D7" s="12">
        <v>150</v>
      </c>
      <c r="E7" s="13">
        <v>0.72463768115942029</v>
      </c>
    </row>
    <row r="8" spans="1:5" ht="18" customHeight="1" x14ac:dyDescent="0.2">
      <c r="A8" s="8" t="s">
        <v>16</v>
      </c>
      <c r="B8" s="9">
        <v>1</v>
      </c>
      <c r="C8" s="9">
        <v>23</v>
      </c>
      <c r="D8" s="9">
        <v>12</v>
      </c>
      <c r="E8" s="10">
        <v>0.52173913043478259</v>
      </c>
    </row>
    <row r="9" spans="1:5" ht="18" customHeight="1" x14ac:dyDescent="0.2">
      <c r="A9" s="11" t="s">
        <v>27</v>
      </c>
      <c r="B9" s="12">
        <v>1</v>
      </c>
      <c r="C9" s="12">
        <v>20</v>
      </c>
      <c r="D9" s="12">
        <v>8</v>
      </c>
      <c r="E9" s="13">
        <v>0.4</v>
      </c>
    </row>
    <row r="10" spans="1:5" ht="18" customHeight="1" x14ac:dyDescent="0.2">
      <c r="A10" s="8" t="s">
        <v>38</v>
      </c>
      <c r="B10" s="9">
        <v>3</v>
      </c>
      <c r="C10" s="9">
        <v>9</v>
      </c>
      <c r="D10" s="9">
        <v>0</v>
      </c>
      <c r="E10" s="10">
        <v>0</v>
      </c>
    </row>
    <row r="11" spans="1:5" ht="18" customHeight="1" x14ac:dyDescent="0.2">
      <c r="A11" s="11" t="s">
        <v>26</v>
      </c>
      <c r="B11" s="12">
        <v>1</v>
      </c>
      <c r="C11" s="12">
        <v>8</v>
      </c>
      <c r="D11" s="12">
        <v>6</v>
      </c>
      <c r="E11" s="13">
        <v>0.75</v>
      </c>
    </row>
    <row r="12" spans="1:5" ht="18" customHeight="1" x14ac:dyDescent="0.2">
      <c r="A12" s="8" t="s">
        <v>31</v>
      </c>
      <c r="B12" s="9">
        <v>3</v>
      </c>
      <c r="C12" s="9">
        <v>8</v>
      </c>
      <c r="D12" s="9">
        <v>1</v>
      </c>
      <c r="E12" s="10">
        <v>0.125</v>
      </c>
    </row>
    <row r="13" spans="1:5" ht="18" customHeight="1" x14ac:dyDescent="0.2">
      <c r="A13" s="11" t="s">
        <v>30</v>
      </c>
      <c r="B13" s="12">
        <v>2</v>
      </c>
      <c r="C13" s="12">
        <v>2</v>
      </c>
      <c r="D13" s="12">
        <v>0</v>
      </c>
      <c r="E13" s="13">
        <v>0</v>
      </c>
    </row>
    <row r="14" spans="1:5" ht="18" customHeight="1" x14ac:dyDescent="0.2">
      <c r="A14" s="8" t="s">
        <v>44</v>
      </c>
      <c r="B14" s="9">
        <v>2</v>
      </c>
      <c r="C14" s="9">
        <v>2</v>
      </c>
      <c r="D14" s="9">
        <v>2</v>
      </c>
      <c r="E14" s="10">
        <v>1</v>
      </c>
    </row>
    <row r="15" spans="1:5" ht="18" customHeight="1" x14ac:dyDescent="0.2">
      <c r="A15" s="11" t="s">
        <v>53</v>
      </c>
      <c r="B15" s="12">
        <v>1</v>
      </c>
      <c r="C15" s="12">
        <v>2</v>
      </c>
      <c r="D15" s="12">
        <v>1</v>
      </c>
      <c r="E15" s="13">
        <v>0.5</v>
      </c>
    </row>
    <row r="16" spans="1:5" ht="18" customHeight="1" x14ac:dyDescent="0.2">
      <c r="A16" s="8" t="s">
        <v>24</v>
      </c>
      <c r="B16" s="9">
        <v>2</v>
      </c>
      <c r="C16" s="9">
        <v>1</v>
      </c>
      <c r="D16" s="9">
        <v>0</v>
      </c>
      <c r="E16" s="10">
        <v>0</v>
      </c>
    </row>
    <row r="17" spans="1:5" ht="18" customHeight="1" x14ac:dyDescent="0.2">
      <c r="A17" s="11" t="s">
        <v>28</v>
      </c>
      <c r="B17" s="12">
        <v>1</v>
      </c>
      <c r="C17" s="12">
        <v>1</v>
      </c>
      <c r="D17" s="12">
        <v>0</v>
      </c>
      <c r="E17" s="13">
        <v>0</v>
      </c>
    </row>
    <row r="18" spans="1:5" ht="18" customHeight="1" x14ac:dyDescent="0.2">
      <c r="A18" s="8" t="s">
        <v>29</v>
      </c>
      <c r="B18" s="9">
        <v>1</v>
      </c>
      <c r="C18" s="9">
        <v>1</v>
      </c>
      <c r="D18" s="9">
        <v>0</v>
      </c>
      <c r="E18" s="10">
        <v>0</v>
      </c>
    </row>
    <row r="19" spans="1:5" ht="18" customHeight="1" x14ac:dyDescent="0.2">
      <c r="A19" s="11" t="s">
        <v>57</v>
      </c>
      <c r="B19" s="12">
        <v>1</v>
      </c>
      <c r="C19" s="12">
        <v>1</v>
      </c>
      <c r="D19" s="12">
        <v>0</v>
      </c>
      <c r="E19" s="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Outbreaks</vt:lpstr>
      <vt:lpstr>Summary by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Deas, Kimberly</cp:lastModifiedBy>
  <dcterms:created xsi:type="dcterms:W3CDTF">2026-05-23T00:32:09Z</dcterms:created>
  <dcterms:modified xsi:type="dcterms:W3CDTF">2026-05-23T00:34:07Z</dcterms:modified>
</cp:coreProperties>
</file>